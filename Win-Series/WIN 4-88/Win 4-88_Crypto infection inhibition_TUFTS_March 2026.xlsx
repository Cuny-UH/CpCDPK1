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dayao01/Library/CloudStorage/Box-Box/DD Shared Folder 2026/Cryptosporidium/R01 Evaluation of CDPK1 inhibitors_Crypto in vitro/Data for Greg/"/>
    </mc:Choice>
  </mc:AlternateContent>
  <xr:revisionPtr revIDLastSave="0" documentId="13_ncr:1_{CD355B17-D146-9349-902F-E968F0D9B5E0}" xr6:coauthVersionLast="47" xr6:coauthVersionMax="47" xr10:uidLastSave="{00000000-0000-0000-0000-000000000000}"/>
  <bookViews>
    <workbookView xWindow="760" yWindow="500" windowWidth="28040" windowHeight="16300" activeTab="1" xr2:uid="{54FBB44D-0A49-0E43-88E7-D7DBB30D6BBA}"/>
  </bookViews>
  <sheets>
    <sheet name="Win 4-88_Tu114" sheetId="2" r:id="rId1"/>
    <sheet name="Win 4-88_Chomini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3" l="1"/>
  <c r="F30" i="3"/>
  <c r="F29" i="3"/>
  <c r="F28" i="3"/>
  <c r="F27" i="3"/>
  <c r="F26" i="3"/>
  <c r="F25" i="3"/>
  <c r="F24" i="3"/>
  <c r="F23" i="3"/>
  <c r="F22" i="3"/>
</calcChain>
</file>

<file path=xl/sharedStrings.xml><?xml version="1.0" encoding="utf-8"?>
<sst xmlns="http://schemas.openxmlformats.org/spreadsheetml/2006/main" count="31" uniqueCount="11">
  <si>
    <t>Well 1</t>
  </si>
  <si>
    <t>Well 2</t>
  </si>
  <si>
    <t>Well 3</t>
  </si>
  <si>
    <t>ave</t>
  </si>
  <si>
    <t>% inhibition</t>
  </si>
  <si>
    <t>Experiment 1</t>
  </si>
  <si>
    <t>Experiment 2</t>
  </si>
  <si>
    <t>C. parvum Tu114</t>
  </si>
  <si>
    <t>C. hominis Tu502</t>
  </si>
  <si>
    <t>Win 4-88 concentration (um)</t>
  </si>
  <si>
    <t>empty wells: no images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</si>
</sst>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2" borderId="0" xfId="0" applyFill="1" applyAlignment="1">
      <alignment horizontal="left"/>
    </xf>
    <xf numFmtId="0" fontId="0" fillId="2" borderId="0" xfId="0" applyFill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32342-549E-7442-942B-591E493F1B14}">
  <dimension ref="B2:F31"/>
  <sheetViews>
    <sheetView workbookViewId="0">
      <selection activeCell="H29" sqref="H29"/>
    </sheetView>
  </sheetViews>
  <sheetFormatPr baseColWidth="10" defaultRowHeight="16" x14ac:dyDescent="0.2"/>
  <cols>
    <col min="2" max="2" width="17.83203125" customWidth="1"/>
  </cols>
  <sheetData>
    <row r="2" spans="2:6" x14ac:dyDescent="0.2">
      <c r="B2" s="2" t="s">
        <v>7</v>
      </c>
    </row>
    <row r="4" spans="2:6" x14ac:dyDescent="0.2">
      <c r="B4" s="2" t="s">
        <v>5</v>
      </c>
    </row>
    <row r="5" spans="2:6" x14ac:dyDescent="0.2">
      <c r="B5" s="5" t="s">
        <v>9</v>
      </c>
      <c r="C5" s="6" t="s">
        <v>4</v>
      </c>
      <c r="D5" s="6"/>
      <c r="E5" s="6"/>
      <c r="F5" s="6"/>
    </row>
    <row r="6" spans="2:6" x14ac:dyDescent="0.2">
      <c r="B6" s="5"/>
      <c r="C6" s="2" t="s">
        <v>0</v>
      </c>
      <c r="D6" s="2" t="s">
        <v>1</v>
      </c>
      <c r="E6" s="2" t="s">
        <v>2</v>
      </c>
      <c r="F6" s="2" t="s">
        <v>3</v>
      </c>
    </row>
    <row r="7" spans="2:6" x14ac:dyDescent="0.2">
      <c r="B7" s="1">
        <v>25</v>
      </c>
      <c r="C7" s="1">
        <v>85.830118869558376</v>
      </c>
      <c r="D7" s="1">
        <v>80.963695046982451</v>
      </c>
      <c r="E7" s="1">
        <v>88.978981342989854</v>
      </c>
      <c r="F7" s="1">
        <v>85.257598419843575</v>
      </c>
    </row>
    <row r="8" spans="2:6" x14ac:dyDescent="0.2">
      <c r="B8" s="1">
        <v>8.3333333333333339</v>
      </c>
      <c r="C8" s="1">
        <v>91.340628198063442</v>
      </c>
      <c r="D8" s="1">
        <v>90.195587298633825</v>
      </c>
      <c r="E8" s="3"/>
      <c r="F8" s="1">
        <v>90.768107748348626</v>
      </c>
    </row>
    <row r="9" spans="2:6" x14ac:dyDescent="0.2">
      <c r="B9" s="1">
        <v>2.7777777777777781</v>
      </c>
      <c r="C9" s="1">
        <v>89.265241567847255</v>
      </c>
      <c r="D9" s="1">
        <v>90.696542692134287</v>
      </c>
      <c r="E9" s="1">
        <v>90.195587298633825</v>
      </c>
      <c r="F9" s="1">
        <v>90.052457186205118</v>
      </c>
    </row>
    <row r="10" spans="2:6" x14ac:dyDescent="0.2">
      <c r="B10" s="1">
        <v>0.92592592592592604</v>
      </c>
      <c r="C10" s="1">
        <v>90.481847523491226</v>
      </c>
      <c r="D10" s="1">
        <v>87.76237538734587</v>
      </c>
      <c r="E10" s="1">
        <v>88.263330780846331</v>
      </c>
      <c r="F10" s="1">
        <v>88.835851230561147</v>
      </c>
    </row>
    <row r="11" spans="2:6" x14ac:dyDescent="0.2">
      <c r="B11" s="1">
        <v>0.30864197530864201</v>
      </c>
      <c r="C11" s="1">
        <v>86.116379094415777</v>
      </c>
      <c r="D11" s="1">
        <v>86.25950920684447</v>
      </c>
      <c r="E11" s="1">
        <v>86.760464600344946</v>
      </c>
      <c r="F11" s="1">
        <v>86.378784300535074</v>
      </c>
    </row>
    <row r="12" spans="2:6" x14ac:dyDescent="0.2">
      <c r="B12" s="1">
        <v>0.10288065843621401</v>
      </c>
      <c r="C12" s="1">
        <v>83.540037070699114</v>
      </c>
      <c r="D12" s="1">
        <v>69.227025827828783</v>
      </c>
      <c r="E12" s="1">
        <v>68.511375265685274</v>
      </c>
      <c r="F12" s="1">
        <v>73.759479388071057</v>
      </c>
    </row>
    <row r="13" spans="2:6" x14ac:dyDescent="0.2">
      <c r="B13" s="1">
        <v>3.4293552812071339E-2</v>
      </c>
      <c r="C13" s="1">
        <v>53.124888179599658</v>
      </c>
      <c r="D13" s="1">
        <v>59.995133576177416</v>
      </c>
      <c r="E13" s="1">
        <v>53.339583348242712</v>
      </c>
      <c r="F13" s="1">
        <v>55.48653503467326</v>
      </c>
    </row>
    <row r="14" spans="2:6" x14ac:dyDescent="0.2">
      <c r="B14" s="1">
        <v>1.1431184270690446E-2</v>
      </c>
      <c r="C14" s="1">
        <v>9.9711592823456119</v>
      </c>
      <c r="D14" s="1">
        <v>4.2459547851974788</v>
      </c>
      <c r="E14" s="1">
        <v>13.549412093063196</v>
      </c>
      <c r="F14" s="1">
        <v>9.255508720202096</v>
      </c>
    </row>
    <row r="15" spans="2:6" x14ac:dyDescent="0.2">
      <c r="B15" s="1">
        <v>3.8103947568968156E-3</v>
      </c>
      <c r="C15" s="3"/>
      <c r="D15" s="1">
        <v>11.044635125560887</v>
      </c>
      <c r="E15" s="1">
        <v>10.114289394774314</v>
      </c>
      <c r="F15" s="1">
        <v>10.579462260167601</v>
      </c>
    </row>
    <row r="16" spans="2:6" x14ac:dyDescent="0.2">
      <c r="B16" s="1">
        <v>0</v>
      </c>
      <c r="C16" s="1">
        <v>2.8862187171247973</v>
      </c>
      <c r="D16" s="1">
        <v>3.1724789419822041</v>
      </c>
      <c r="E16" s="1">
        <v>-6.0594133096691598</v>
      </c>
      <c r="F16" s="1">
        <v>-2.3855018738612918E-4</v>
      </c>
    </row>
    <row r="17" spans="2:6" x14ac:dyDescent="0.2">
      <c r="B17" s="4" t="s">
        <v>10</v>
      </c>
    </row>
    <row r="19" spans="2:6" x14ac:dyDescent="0.2">
      <c r="B19" s="2" t="s">
        <v>6</v>
      </c>
    </row>
    <row r="20" spans="2:6" x14ac:dyDescent="0.2">
      <c r="B20" s="5" t="s">
        <v>9</v>
      </c>
      <c r="C20" s="6" t="s">
        <v>4</v>
      </c>
      <c r="D20" s="6"/>
      <c r="E20" s="6"/>
      <c r="F20" s="6"/>
    </row>
    <row r="21" spans="2:6" x14ac:dyDescent="0.2">
      <c r="B21" s="5"/>
      <c r="C21" s="2" t="s">
        <v>0</v>
      </c>
      <c r="D21" s="2" t="s">
        <v>1</v>
      </c>
      <c r="E21" s="2" t="s">
        <v>2</v>
      </c>
      <c r="F21" s="2" t="s">
        <v>3</v>
      </c>
    </row>
    <row r="22" spans="2:6" x14ac:dyDescent="0.2">
      <c r="B22" s="1">
        <v>25</v>
      </c>
      <c r="C22">
        <v>94.922351920948429</v>
      </c>
      <c r="D22">
        <v>93.781307408802022</v>
      </c>
      <c r="E22">
        <v>94.922351920948429</v>
      </c>
      <c r="F22">
        <v>94.542003750232951</v>
      </c>
    </row>
    <row r="23" spans="2:6" x14ac:dyDescent="0.2">
      <c r="B23" s="1">
        <v>8.3333333333333339</v>
      </c>
      <c r="C23">
        <v>95.435821951414326</v>
      </c>
      <c r="D23">
        <v>95.778135305058257</v>
      </c>
      <c r="E23">
        <v>95.036456372163087</v>
      </c>
      <c r="F23">
        <v>95.416804542878552</v>
      </c>
    </row>
    <row r="24" spans="2:6" x14ac:dyDescent="0.2">
      <c r="B24" s="1">
        <v>2.7777777777777781</v>
      </c>
      <c r="C24">
        <v>96.120448658702173</v>
      </c>
      <c r="D24">
        <v>96.576866463560734</v>
      </c>
      <c r="E24">
        <v>96.063396433094852</v>
      </c>
      <c r="F24">
        <v>96.253570518452591</v>
      </c>
    </row>
    <row r="25" spans="2:6" x14ac:dyDescent="0.2">
      <c r="B25" s="1">
        <v>0.92592592592592604</v>
      </c>
      <c r="C25">
        <v>95.150560823377717</v>
      </c>
      <c r="D25">
        <v>95.721083079450935</v>
      </c>
      <c r="E25">
        <v>94.599055975840287</v>
      </c>
      <c r="F25">
        <v>95.156899959556313</v>
      </c>
    </row>
    <row r="26" spans="2:6" x14ac:dyDescent="0.2">
      <c r="B26" s="1">
        <v>0.30864197530864201</v>
      </c>
      <c r="C26">
        <v>94.979404146555751</v>
      </c>
      <c r="D26">
        <v>94.18067298805326</v>
      </c>
      <c r="E26">
        <v>94.218707805124808</v>
      </c>
      <c r="F26">
        <v>94.459594979911273</v>
      </c>
    </row>
    <row r="27" spans="2:6" x14ac:dyDescent="0.2">
      <c r="B27" s="1">
        <v>0.10288065843621401</v>
      </c>
      <c r="C27">
        <v>88.589554878535807</v>
      </c>
      <c r="D27">
        <v>86.478622531064943</v>
      </c>
      <c r="E27">
        <v>90.985748354043295</v>
      </c>
      <c r="F27">
        <v>88.684641921214691</v>
      </c>
    </row>
    <row r="28" spans="2:6" x14ac:dyDescent="0.2">
      <c r="B28" s="1">
        <v>3.4293552812071339E-2</v>
      </c>
      <c r="C28">
        <v>42.263147685391203</v>
      </c>
      <c r="D28">
        <v>58.637136434692316</v>
      </c>
      <c r="E28">
        <v>57.952509727404468</v>
      </c>
      <c r="F28">
        <v>52.950931282495993</v>
      </c>
    </row>
    <row r="29" spans="2:6" x14ac:dyDescent="0.2">
      <c r="B29" s="1">
        <v>1.1431184270690446E-2</v>
      </c>
      <c r="C29">
        <v>15.619758326772326</v>
      </c>
      <c r="D29">
        <v>25.261584454409565</v>
      </c>
      <c r="E29">
        <v>7.2901333881034684</v>
      </c>
      <c r="F29">
        <v>16.057158723095121</v>
      </c>
    </row>
    <row r="30" spans="2:6" x14ac:dyDescent="0.2">
      <c r="B30" s="1">
        <v>3.8103947568968156E-3</v>
      </c>
      <c r="C30">
        <v>-2.4087449651410919</v>
      </c>
      <c r="D30">
        <v>4.3234176565227793</v>
      </c>
      <c r="E30">
        <v>7.8036034185693577</v>
      </c>
      <c r="F30">
        <v>3.2394253699836817</v>
      </c>
    </row>
    <row r="31" spans="2:6" x14ac:dyDescent="0.2">
      <c r="B31" s="1">
        <v>0</v>
      </c>
      <c r="C31">
        <v>2.8400597907324352</v>
      </c>
      <c r="D31">
        <v>-0.52602152009950065</v>
      </c>
      <c r="E31">
        <v>-2.3136579224622191</v>
      </c>
      <c r="F31">
        <v>1.2678272357187956E-4</v>
      </c>
    </row>
  </sheetData>
  <mergeCells count="4">
    <mergeCell ref="B5:B6"/>
    <mergeCell ref="C5:F5"/>
    <mergeCell ref="B20:B21"/>
    <mergeCell ref="C20:F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B1BF0-26F8-B940-84CD-A4E418530229}">
  <dimension ref="B2:F31"/>
  <sheetViews>
    <sheetView tabSelected="1" workbookViewId="0">
      <selection activeCell="I10" sqref="I10"/>
    </sheetView>
  </sheetViews>
  <sheetFormatPr baseColWidth="10" defaultRowHeight="16" x14ac:dyDescent="0.2"/>
  <cols>
    <col min="2" max="2" width="17.1640625" customWidth="1"/>
  </cols>
  <sheetData>
    <row r="2" spans="2:6" x14ac:dyDescent="0.2">
      <c r="B2" s="2" t="s">
        <v>8</v>
      </c>
    </row>
    <row r="4" spans="2:6" x14ac:dyDescent="0.2">
      <c r="B4" s="2" t="s">
        <v>5</v>
      </c>
    </row>
    <row r="5" spans="2:6" x14ac:dyDescent="0.2">
      <c r="B5" s="5" t="s">
        <v>9</v>
      </c>
      <c r="C5" s="6" t="s">
        <v>4</v>
      </c>
      <c r="D5" s="6"/>
      <c r="E5" s="6"/>
      <c r="F5" s="6"/>
    </row>
    <row r="6" spans="2:6" x14ac:dyDescent="0.2">
      <c r="B6" s="5"/>
      <c r="C6" s="2" t="s">
        <v>0</v>
      </c>
      <c r="D6" s="2" t="s">
        <v>1</v>
      </c>
      <c r="E6" s="2" t="s">
        <v>2</v>
      </c>
      <c r="F6" s="2" t="s">
        <v>3</v>
      </c>
    </row>
    <row r="7" spans="2:6" x14ac:dyDescent="0.2">
      <c r="B7" s="1">
        <v>25</v>
      </c>
      <c r="C7" s="1">
        <v>96.751700907298883</v>
      </c>
      <c r="D7" s="1">
        <v>96.262231181001454</v>
      </c>
      <c r="E7" s="1">
        <v>94.660330258573509</v>
      </c>
      <c r="F7" s="1">
        <v>95.891420782291291</v>
      </c>
    </row>
    <row r="8" spans="2:6" x14ac:dyDescent="0.2">
      <c r="B8" s="1">
        <v>8.3333333333333339</v>
      </c>
      <c r="C8" s="1">
        <v>95.32778897625181</v>
      </c>
      <c r="D8" s="1">
        <v>96.351225676691897</v>
      </c>
      <c r="E8" s="1">
        <v>94.88281649779961</v>
      </c>
      <c r="F8" s="1">
        <v>95.520610383581086</v>
      </c>
    </row>
    <row r="9" spans="2:6" x14ac:dyDescent="0.2">
      <c r="B9" s="1">
        <v>2.7777777777777781</v>
      </c>
      <c r="C9" s="1">
        <v>93.725888053823866</v>
      </c>
      <c r="D9" s="1">
        <v>93.147423831835994</v>
      </c>
      <c r="E9" s="1">
        <v>92.301976122776807</v>
      </c>
      <c r="F9" s="1">
        <v>93.058429336145551</v>
      </c>
    </row>
    <row r="10" spans="2:6" x14ac:dyDescent="0.2">
      <c r="B10" s="1">
        <v>0.92592592592592604</v>
      </c>
      <c r="C10" s="1">
        <v>92.123987131395921</v>
      </c>
      <c r="D10" s="1">
        <v>93.54789906244298</v>
      </c>
      <c r="E10" s="1">
        <v>90.967058687420192</v>
      </c>
      <c r="F10" s="1">
        <v>92.212981627086364</v>
      </c>
    </row>
    <row r="11" spans="2:6" x14ac:dyDescent="0.2">
      <c r="B11" s="1">
        <v>0.30864197530864201</v>
      </c>
      <c r="C11" s="1">
        <v>84.870935732624943</v>
      </c>
      <c r="D11" s="1">
        <v>84.514957749863171</v>
      </c>
      <c r="E11" s="1">
        <v>85.315908211077144</v>
      </c>
      <c r="F11" s="1">
        <v>84.900600564521753</v>
      </c>
    </row>
    <row r="12" spans="2:6" x14ac:dyDescent="0.2">
      <c r="B12" s="1">
        <v>0.10288065843621401</v>
      </c>
      <c r="C12" s="1">
        <v>78.240845803687037</v>
      </c>
      <c r="D12" s="1">
        <v>75.259530198057249</v>
      </c>
      <c r="E12" s="1">
        <v>60.664432904824835</v>
      </c>
      <c r="F12" s="1">
        <v>71.388269635523045</v>
      </c>
    </row>
    <row r="13" spans="2:6" x14ac:dyDescent="0.2">
      <c r="B13" s="1">
        <v>3.4293552812071339E-2</v>
      </c>
      <c r="C13" s="1">
        <v>27.069010781683151</v>
      </c>
      <c r="D13" s="1">
        <v>48.961656721531774</v>
      </c>
      <c r="E13" s="1">
        <v>54.879790684946137</v>
      </c>
      <c r="F13" s="1">
        <v>43.636819396053689</v>
      </c>
    </row>
    <row r="14" spans="2:6" x14ac:dyDescent="0.2">
      <c r="B14" s="1">
        <v>1.1431184270690446E-2</v>
      </c>
      <c r="C14" s="1">
        <v>46.247324602973308</v>
      </c>
      <c r="D14" s="1">
        <v>15.811207076842296</v>
      </c>
      <c r="E14" s="1">
        <v>8.4691611823808675</v>
      </c>
      <c r="F14" s="1">
        <v>23.50923095406549</v>
      </c>
    </row>
    <row r="15" spans="2:6" x14ac:dyDescent="0.2">
      <c r="B15" s="1">
        <v>3.8103947568968156E-3</v>
      </c>
      <c r="C15" s="1">
        <v>14.520786889330891</v>
      </c>
      <c r="D15" s="1">
        <v>8.1131831996191011</v>
      </c>
      <c r="E15" s="1">
        <v>9.6260896263566078</v>
      </c>
      <c r="F15" s="1">
        <v>10.753353238435535</v>
      </c>
    </row>
    <row r="16" spans="2:6" x14ac:dyDescent="0.2">
      <c r="B16" s="1">
        <v>0</v>
      </c>
      <c r="C16" s="1">
        <v>-2.076686556936457</v>
      </c>
      <c r="D16" s="1">
        <v>6.1553042944293868</v>
      </c>
      <c r="E16" s="1">
        <v>-4.0790627099713914</v>
      </c>
      <c r="F16" s="1">
        <v>-1.4832415948706767E-4</v>
      </c>
    </row>
    <row r="19" spans="2:6" x14ac:dyDescent="0.2">
      <c r="B19" s="2" t="s">
        <v>6</v>
      </c>
    </row>
    <row r="20" spans="2:6" x14ac:dyDescent="0.2">
      <c r="B20" s="5" t="s">
        <v>9</v>
      </c>
      <c r="C20" s="6" t="s">
        <v>4</v>
      </c>
      <c r="D20" s="6"/>
      <c r="E20" s="6"/>
      <c r="F20" s="6"/>
    </row>
    <row r="21" spans="2:6" x14ac:dyDescent="0.2">
      <c r="B21" s="5"/>
      <c r="C21" s="2" t="s">
        <v>0</v>
      </c>
      <c r="D21" s="2" t="s">
        <v>1</v>
      </c>
      <c r="E21" s="2" t="s">
        <v>2</v>
      </c>
      <c r="F21" s="2" t="s">
        <v>3</v>
      </c>
    </row>
    <row r="22" spans="2:6" x14ac:dyDescent="0.2">
      <c r="B22" s="1">
        <v>25</v>
      </c>
      <c r="C22" s="7">
        <v>96.454016600000003</v>
      </c>
      <c r="D22" s="7">
        <v>96.454016600000003</v>
      </c>
      <c r="E22" s="7">
        <v>96.127082009999995</v>
      </c>
      <c r="F22">
        <f>AVERAGE(C22:E22)</f>
        <v>96.345038403333334</v>
      </c>
    </row>
    <row r="23" spans="2:6" x14ac:dyDescent="0.2">
      <c r="B23" s="1">
        <v>8.3333333333333339</v>
      </c>
      <c r="C23" s="7">
        <v>94.492408800000007</v>
      </c>
      <c r="D23" s="7">
        <v>93.587051400000007</v>
      </c>
      <c r="E23" s="7">
        <v>93.687646650000005</v>
      </c>
      <c r="F23">
        <f t="shared" ref="F23:F30" si="0">AVERAGE(C23:E23)</f>
        <v>93.922368950000006</v>
      </c>
    </row>
    <row r="24" spans="2:6" x14ac:dyDescent="0.2">
      <c r="B24" s="1">
        <v>2.7777777777777781</v>
      </c>
      <c r="C24" s="7">
        <v>90.870979000000005</v>
      </c>
      <c r="D24" s="7">
        <v>89.814728700000003</v>
      </c>
      <c r="E24" s="7">
        <v>94.140325379999993</v>
      </c>
      <c r="F24">
        <f t="shared" si="0"/>
        <v>91.608677693333334</v>
      </c>
    </row>
    <row r="25" spans="2:6" x14ac:dyDescent="0.2">
      <c r="B25" s="1">
        <v>0.92592592592592604</v>
      </c>
      <c r="C25" s="7">
        <v>87.324995700000002</v>
      </c>
      <c r="D25" s="7">
        <v>86.645977599999995</v>
      </c>
      <c r="E25" s="7">
        <v>87.97886493</v>
      </c>
      <c r="F25">
        <f t="shared" si="0"/>
        <v>87.316612743333337</v>
      </c>
    </row>
    <row r="26" spans="2:6" x14ac:dyDescent="0.2">
      <c r="B26" s="1">
        <v>0.30864197530864201</v>
      </c>
      <c r="C26" s="7">
        <v>79.730052599999993</v>
      </c>
      <c r="D26" s="7">
        <v>79.076183299999997</v>
      </c>
      <c r="E26" s="7">
        <v>75.957729869999994</v>
      </c>
      <c r="F26">
        <f t="shared" si="0"/>
        <v>78.254655256666652</v>
      </c>
    </row>
    <row r="27" spans="2:6" x14ac:dyDescent="0.2">
      <c r="B27" s="1">
        <v>0.10288065843621401</v>
      </c>
      <c r="C27" s="7">
        <v>58.705640600000002</v>
      </c>
      <c r="D27" s="7">
        <v>58.026622500000002</v>
      </c>
      <c r="E27" s="7">
        <v>48.29402992</v>
      </c>
      <c r="F27">
        <f t="shared" si="0"/>
        <v>55.008764340000006</v>
      </c>
    </row>
    <row r="28" spans="2:6" x14ac:dyDescent="0.2">
      <c r="B28" s="1">
        <v>3.4293552812071339E-2</v>
      </c>
      <c r="C28" s="7">
        <v>18.542978099999999</v>
      </c>
      <c r="D28" s="7">
        <v>12.7838987</v>
      </c>
      <c r="E28" s="7">
        <v>30.46351787</v>
      </c>
      <c r="F28">
        <f t="shared" si="0"/>
        <v>20.596798223333334</v>
      </c>
    </row>
    <row r="29" spans="2:6" x14ac:dyDescent="0.2">
      <c r="B29" s="1">
        <v>1.1431184270690446E-2</v>
      </c>
      <c r="C29" s="7">
        <v>-7.2094117000000004</v>
      </c>
      <c r="D29" s="7">
        <v>19.196847300000002</v>
      </c>
      <c r="E29" s="7">
        <v>22.944021249999999</v>
      </c>
      <c r="F29">
        <f t="shared" si="0"/>
        <v>11.643818950000002</v>
      </c>
    </row>
    <row r="30" spans="2:6" x14ac:dyDescent="0.2">
      <c r="B30" s="1">
        <v>3.8103947568968156E-3</v>
      </c>
      <c r="C30" s="7">
        <v>14.0916373</v>
      </c>
      <c r="D30" s="7">
        <v>11.601904299999999</v>
      </c>
      <c r="E30" s="7">
        <v>-16.162390949999999</v>
      </c>
      <c r="F30">
        <f t="shared" si="0"/>
        <v>3.1770502166666668</v>
      </c>
    </row>
    <row r="31" spans="2:6" x14ac:dyDescent="0.2">
      <c r="B31" s="1">
        <v>0</v>
      </c>
      <c r="C31" s="7">
        <v>12.7838987</v>
      </c>
      <c r="D31" s="7">
        <v>-12.792449</v>
      </c>
      <c r="E31" s="7">
        <v>8.2991100000000002E-3</v>
      </c>
      <c r="F31">
        <f>C31--D31+E31</f>
        <v>-2.5118999999956641E-4</v>
      </c>
    </row>
  </sheetData>
  <mergeCells count="4">
    <mergeCell ref="B5:B6"/>
    <mergeCell ref="C5:F5"/>
    <mergeCell ref="B20:B21"/>
    <mergeCell ref="C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 4-88_Tu114</vt:lpstr>
      <vt:lpstr>Win 4-88_Chominis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Dayao, Denise</dc:creator>
  <cp:lastModifiedBy>Dayao, Denise</cp:lastModifiedBy>
  <dcterms:created xsi:type="dcterms:W3CDTF">2026-01-09T01:29:23Z</dcterms:created>
  <dcterms:modified xsi:type="dcterms:W3CDTF">2026-03-08T22:14:50Z</dcterms:modified>
</cp:coreProperties>
</file>