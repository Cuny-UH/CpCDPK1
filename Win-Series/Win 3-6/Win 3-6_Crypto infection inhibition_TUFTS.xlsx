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ayao01/Library/CloudStorage/Box-Box/R01 Evaluation of CDPK1 inhibitors_Crypto in vitro/Data for Greg_January 2026/"/>
    </mc:Choice>
  </mc:AlternateContent>
  <xr:revisionPtr revIDLastSave="0" documentId="13_ncr:1_{BF6CA035-0D54-C04C-9353-02BB2A082E3B}" xr6:coauthVersionLast="47" xr6:coauthVersionMax="47" xr10:uidLastSave="{00000000-0000-0000-0000-000000000000}"/>
  <bookViews>
    <workbookView xWindow="16080" yWindow="500" windowWidth="28040" windowHeight="16300" xr2:uid="{54FBB44D-0A49-0E43-88E7-D7DBB30D6BBA}"/>
  </bookViews>
  <sheets>
    <sheet name="Win 3-6_Tu114" sheetId="2" r:id="rId1"/>
    <sheet name="Win 3-6_Chomin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5" i="3"/>
  <c r="F14" i="3"/>
  <c r="F13" i="3"/>
  <c r="F12" i="3"/>
  <c r="F11" i="3"/>
  <c r="F10" i="3"/>
  <c r="F9" i="3"/>
  <c r="F8" i="3"/>
  <c r="F7" i="3"/>
  <c r="F27" i="3"/>
  <c r="F26" i="3"/>
  <c r="F25" i="3"/>
  <c r="F24" i="3"/>
  <c r="F23" i="3"/>
  <c r="F22" i="3"/>
  <c r="F21" i="3"/>
  <c r="F20" i="3"/>
  <c r="F19" i="3"/>
  <c r="F18" i="3"/>
</calcChain>
</file>

<file path=xl/sharedStrings.xml><?xml version="1.0" encoding="utf-8"?>
<sst xmlns="http://schemas.openxmlformats.org/spreadsheetml/2006/main" count="23" uniqueCount="10">
  <si>
    <t>Well 1</t>
  </si>
  <si>
    <t>Well 2</t>
  </si>
  <si>
    <t>Well 3</t>
  </si>
  <si>
    <t>ave</t>
  </si>
  <si>
    <t>% inhibition</t>
  </si>
  <si>
    <t>Experiment 1</t>
  </si>
  <si>
    <t>Experiment 2</t>
  </si>
  <si>
    <t>Win 3-6 concentration (um)</t>
  </si>
  <si>
    <t>C. parvum Tu114</t>
  </si>
  <si>
    <t>C. hominis Tu502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</si>
</sst>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342-549E-7442-942B-591E493F1B14}">
  <dimension ref="B2:F31"/>
  <sheetViews>
    <sheetView tabSelected="1" workbookViewId="0">
      <selection activeCell="C7" sqref="C7:F16"/>
    </sheetView>
  </sheetViews>
  <sheetFormatPr baseColWidth="10" defaultRowHeight="16" x14ac:dyDescent="0.2"/>
  <cols>
    <col min="2" max="2" width="16.1640625" customWidth="1"/>
  </cols>
  <sheetData>
    <row r="2" spans="2:6" x14ac:dyDescent="0.2">
      <c r="B2" s="2" t="s">
        <v>8</v>
      </c>
    </row>
    <row r="4" spans="2:6" x14ac:dyDescent="0.2">
      <c r="B4" s="2" t="s">
        <v>5</v>
      </c>
    </row>
    <row r="5" spans="2:6" x14ac:dyDescent="0.2">
      <c r="B5" s="3" t="s">
        <v>7</v>
      </c>
      <c r="C5" s="4" t="s">
        <v>4</v>
      </c>
      <c r="D5" s="4"/>
      <c r="E5" s="4"/>
      <c r="F5" s="4"/>
    </row>
    <row r="6" spans="2:6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>
        <v>90.812452543659845</v>
      </c>
      <c r="D7">
        <v>93.166287015945329</v>
      </c>
      <c r="E7">
        <v>91.571753986332567</v>
      </c>
      <c r="F7">
        <v>91.850164515312585</v>
      </c>
    </row>
    <row r="8" spans="2:6" x14ac:dyDescent="0.2">
      <c r="B8" s="1">
        <v>8.3333333333333339</v>
      </c>
      <c r="C8">
        <v>91.875474563401667</v>
      </c>
      <c r="D8">
        <v>92.558845861807143</v>
      </c>
      <c r="E8">
        <v>91.647684130599856</v>
      </c>
      <c r="F8">
        <v>92.027334851936232</v>
      </c>
    </row>
    <row r="9" spans="2:6" x14ac:dyDescent="0.2">
      <c r="B9" s="1">
        <v>2.7777777777777781</v>
      </c>
      <c r="C9">
        <v>90.964312832194381</v>
      </c>
      <c r="D9">
        <v>92.027334851936217</v>
      </c>
      <c r="E9">
        <v>91.647684130599856</v>
      </c>
      <c r="F9">
        <v>91.546443938243485</v>
      </c>
    </row>
    <row r="10" spans="2:6" x14ac:dyDescent="0.2">
      <c r="B10" s="1">
        <v>0.92592592592592604</v>
      </c>
      <c r="C10">
        <v>89.445709946848893</v>
      </c>
      <c r="D10">
        <v>92.331055429005318</v>
      </c>
      <c r="E10">
        <v>93.090356871678054</v>
      </c>
      <c r="F10">
        <v>91.62237408251076</v>
      </c>
    </row>
    <row r="11" spans="2:6" x14ac:dyDescent="0.2">
      <c r="B11" s="1">
        <v>0.30864197530864201</v>
      </c>
      <c r="C11">
        <v>90.584662110858005</v>
      </c>
      <c r="D11">
        <v>91.268033409263481</v>
      </c>
      <c r="E11">
        <v>89.141989369779807</v>
      </c>
      <c r="F11">
        <v>90.331561629967098</v>
      </c>
    </row>
    <row r="12" spans="2:6" x14ac:dyDescent="0.2">
      <c r="B12" s="1">
        <v>0.10288065843621401</v>
      </c>
      <c r="C12">
        <v>83.750949126803349</v>
      </c>
      <c r="D12">
        <v>86.180713743356108</v>
      </c>
      <c r="E12">
        <v>85.193621867881546</v>
      </c>
      <c r="F12">
        <v>85.041761579347011</v>
      </c>
    </row>
    <row r="13" spans="2:6" x14ac:dyDescent="0.2">
      <c r="B13" s="1">
        <v>3.4293552812071339E-2</v>
      </c>
      <c r="C13">
        <v>58.845861807137432</v>
      </c>
      <c r="D13">
        <v>44.646924829157172</v>
      </c>
      <c r="E13">
        <v>50.493545937737281</v>
      </c>
      <c r="F13">
        <v>51.328777524677292</v>
      </c>
    </row>
    <row r="14" spans="2:6" x14ac:dyDescent="0.2">
      <c r="B14" s="1">
        <v>1.1431184270690446E-2</v>
      </c>
      <c r="C14">
        <v>25.132877752467731</v>
      </c>
      <c r="D14">
        <v>34.851936218678816</v>
      </c>
      <c r="E14">
        <v>19.210326499620351</v>
      </c>
      <c r="F14">
        <v>26.3983801569223</v>
      </c>
    </row>
    <row r="15" spans="2:6" x14ac:dyDescent="0.2">
      <c r="B15" s="1">
        <v>3.8103947568968156E-3</v>
      </c>
      <c r="C15">
        <v>0.98709187547456334</v>
      </c>
      <c r="D15">
        <v>1.2148823082763858</v>
      </c>
      <c r="E15">
        <v>-9.1875474563401678</v>
      </c>
      <c r="F15">
        <v>-2.3285244241964063</v>
      </c>
    </row>
    <row r="16" spans="2:6" x14ac:dyDescent="0.2">
      <c r="B16" s="1">
        <v>0</v>
      </c>
      <c r="C16">
        <v>-3.0372057706909641</v>
      </c>
      <c r="D16">
        <v>-4.4798785117691722</v>
      </c>
      <c r="E16">
        <v>7.5170842824601358</v>
      </c>
      <c r="F16">
        <v>0</v>
      </c>
    </row>
    <row r="19" spans="2:6" x14ac:dyDescent="0.2">
      <c r="B19" s="2" t="s">
        <v>6</v>
      </c>
    </row>
    <row r="20" spans="2:6" x14ac:dyDescent="0.2">
      <c r="B20" s="3" t="s">
        <v>7</v>
      </c>
      <c r="C20" s="4" t="s">
        <v>4</v>
      </c>
      <c r="D20" s="4"/>
      <c r="E20" s="4"/>
      <c r="F20" s="4"/>
    </row>
    <row r="21" spans="2:6" x14ac:dyDescent="0.2">
      <c r="B21" s="3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>
        <v>96.614001364817909</v>
      </c>
      <c r="D22" s="1">
        <v>96.301447644647254</v>
      </c>
      <c r="E22" s="1">
        <v>95.884709351086386</v>
      </c>
      <c r="F22">
        <v>96.266719453517183</v>
      </c>
    </row>
    <row r="23" spans="2:6" x14ac:dyDescent="0.2">
      <c r="B23" s="1">
        <v>8.3333333333333339</v>
      </c>
      <c r="C23">
        <v>96.197263071257041</v>
      </c>
      <c r="D23" s="1">
        <v>95.884709351086386</v>
      </c>
      <c r="E23" s="1">
        <v>95.988893924476599</v>
      </c>
      <c r="F23">
        <v>96.02362211560667</v>
      </c>
    </row>
    <row r="24" spans="2:6" x14ac:dyDescent="0.2">
      <c r="B24" s="1">
        <v>2.7777777777777781</v>
      </c>
      <c r="C24">
        <v>96.926555084988564</v>
      </c>
      <c r="D24" s="1">
        <v>96.718185938208137</v>
      </c>
      <c r="E24" s="1">
        <v>96.249355357952155</v>
      </c>
      <c r="F24">
        <v>96.631365460382952</v>
      </c>
    </row>
    <row r="25" spans="2:6" x14ac:dyDescent="0.2">
      <c r="B25" s="1">
        <v>0.92592592592592604</v>
      </c>
      <c r="C25">
        <v>96.614001364817909</v>
      </c>
      <c r="D25" s="1">
        <v>96.457724504732596</v>
      </c>
      <c r="E25" s="1">
        <v>96.561909078122795</v>
      </c>
      <c r="F25">
        <v>96.544544982557753</v>
      </c>
    </row>
    <row r="26" spans="2:6" x14ac:dyDescent="0.2">
      <c r="B26" s="1">
        <v>0.30864197530864201</v>
      </c>
      <c r="C26">
        <v>95.780524777696158</v>
      </c>
      <c r="D26" s="1">
        <v>97.239108805159219</v>
      </c>
      <c r="E26" s="1">
        <v>96.301447644647254</v>
      </c>
      <c r="F26">
        <v>96.440360409167553</v>
      </c>
    </row>
    <row r="27" spans="2:6" x14ac:dyDescent="0.2">
      <c r="B27" s="1">
        <v>0.10288065843621401</v>
      </c>
      <c r="C27">
        <v>91.300588121916789</v>
      </c>
      <c r="D27" s="1">
        <v>90.935942115051034</v>
      </c>
      <c r="E27" s="1">
        <v>91.769418702172771</v>
      </c>
      <c r="F27">
        <v>91.33531631304686</v>
      </c>
    </row>
    <row r="28" spans="2:6" x14ac:dyDescent="0.2">
      <c r="B28" s="1">
        <v>3.4293552812071339E-2</v>
      </c>
      <c r="C28">
        <v>57.232232623315468</v>
      </c>
      <c r="D28" s="1">
        <v>61.034969552058428</v>
      </c>
      <c r="E28" s="1">
        <v>43.531961222501785</v>
      </c>
      <c r="F28">
        <v>53.933054465958556</v>
      </c>
    </row>
    <row r="29" spans="2:6" x14ac:dyDescent="0.2">
      <c r="B29" s="1">
        <v>1.1431184270690446E-2</v>
      </c>
      <c r="C29">
        <v>38.114363406210444</v>
      </c>
      <c r="D29" s="1">
        <v>19.465324769361402</v>
      </c>
      <c r="E29" s="1">
        <v>22.851323404543493</v>
      </c>
      <c r="F29">
        <v>26.81033719337178</v>
      </c>
    </row>
    <row r="30" spans="2:6" x14ac:dyDescent="0.2">
      <c r="B30" s="1">
        <v>3.8103947568968156E-3</v>
      </c>
      <c r="C30">
        <v>23.788984565055454</v>
      </c>
      <c r="D30" s="1">
        <v>13.787265519594516</v>
      </c>
      <c r="E30" s="1">
        <v>34.10325733068705</v>
      </c>
      <c r="F30">
        <v>23.893169138445671</v>
      </c>
    </row>
    <row r="31" spans="2:6" x14ac:dyDescent="0.2">
      <c r="B31" s="1">
        <v>0</v>
      </c>
      <c r="C31">
        <v>10.244990024327102</v>
      </c>
      <c r="D31" s="1">
        <v>16.964895007996169</v>
      </c>
      <c r="E31" s="1">
        <v>-27.209364109456306</v>
      </c>
      <c r="F31">
        <v>1.736409556549745E-4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1BF0-26F8-B940-84CD-A4E418530229}">
  <dimension ref="B2:F31"/>
  <sheetViews>
    <sheetView workbookViewId="0">
      <selection activeCell="C7" sqref="C7:F16"/>
    </sheetView>
  </sheetViews>
  <sheetFormatPr baseColWidth="10" defaultRowHeight="16" x14ac:dyDescent="0.2"/>
  <cols>
    <col min="2" max="2" width="15.33203125" customWidth="1"/>
  </cols>
  <sheetData>
    <row r="2" spans="2:6" x14ac:dyDescent="0.2">
      <c r="B2" s="2" t="s">
        <v>9</v>
      </c>
    </row>
    <row r="4" spans="2:6" x14ac:dyDescent="0.2">
      <c r="B4" s="2" t="s">
        <v>5</v>
      </c>
    </row>
    <row r="5" spans="2:6" x14ac:dyDescent="0.2">
      <c r="B5" s="3" t="s">
        <v>7</v>
      </c>
      <c r="C5" s="4" t="s">
        <v>4</v>
      </c>
      <c r="D5" s="4"/>
      <c r="E5" s="4"/>
      <c r="F5" s="4"/>
    </row>
    <row r="6" spans="2:6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>
        <v>96.327025339444077</v>
      </c>
      <c r="D7">
        <v>96.694322805499667</v>
      </c>
      <c r="E7">
        <v>97.306485248925654</v>
      </c>
      <c r="F7">
        <f>AVERAGE(C7:E7)</f>
        <v>96.775944464623137</v>
      </c>
    </row>
    <row r="8" spans="2:6" x14ac:dyDescent="0.2">
      <c r="B8" s="1">
        <v>8.3333333333333339</v>
      </c>
      <c r="C8">
        <v>96.163782021197136</v>
      </c>
      <c r="D8">
        <v>95.102700452592103</v>
      </c>
      <c r="E8">
        <v>95.918917043826752</v>
      </c>
      <c r="F8">
        <f t="shared" ref="F8:F16" si="0">AVERAGE(C8:E8)</f>
        <v>95.728466505872007</v>
      </c>
    </row>
    <row r="9" spans="2:6" x14ac:dyDescent="0.2">
      <c r="B9" s="1">
        <v>2.7777777777777781</v>
      </c>
      <c r="C9">
        <v>91.837834087653505</v>
      </c>
      <c r="D9">
        <v>94.81702464565997</v>
      </c>
      <c r="E9">
        <v>95.429187089085971</v>
      </c>
      <c r="F9">
        <f t="shared" si="0"/>
        <v>94.028015274133153</v>
      </c>
    </row>
    <row r="10" spans="2:6" x14ac:dyDescent="0.2">
      <c r="B10" s="1">
        <v>0.92592592592592604</v>
      </c>
      <c r="C10">
        <v>91.348104132912709</v>
      </c>
      <c r="D10">
        <v>90.327833393869398</v>
      </c>
      <c r="E10">
        <v>89.307562654826086</v>
      </c>
      <c r="F10">
        <f t="shared" si="0"/>
        <v>90.327833393869398</v>
      </c>
    </row>
    <row r="11" spans="2:6" x14ac:dyDescent="0.2">
      <c r="B11" s="1">
        <v>0.30864197530864201</v>
      </c>
      <c r="C11">
        <v>80.043504344312808</v>
      </c>
      <c r="D11">
        <v>81.96161333371424</v>
      </c>
      <c r="E11">
        <v>78.941611946146026</v>
      </c>
      <c r="F11">
        <f t="shared" si="0"/>
        <v>80.315576541391025</v>
      </c>
    </row>
    <row r="12" spans="2:6" x14ac:dyDescent="0.2">
      <c r="B12" s="1">
        <v>0.10288065843621401</v>
      </c>
      <c r="C12">
        <v>69.799986124317954</v>
      </c>
      <c r="D12">
        <v>52.781870197075499</v>
      </c>
      <c r="E12">
        <v>53.883762595242267</v>
      </c>
      <c r="F12">
        <f t="shared" si="0"/>
        <v>58.821872972211906</v>
      </c>
    </row>
    <row r="13" spans="2:6" x14ac:dyDescent="0.2">
      <c r="B13" s="1">
        <v>3.4293552812071339E-2</v>
      </c>
      <c r="C13">
        <v>16.745907694065696</v>
      </c>
      <c r="D13">
        <v>29.315643199079304</v>
      </c>
      <c r="E13">
        <v>31.396995506727666</v>
      </c>
      <c r="F13">
        <f t="shared" si="0"/>
        <v>25.819515466624221</v>
      </c>
    </row>
    <row r="14" spans="2:6" x14ac:dyDescent="0.2">
      <c r="B14" s="1">
        <v>1.1431184270690446E-2</v>
      </c>
      <c r="C14">
        <v>27.846453334856935</v>
      </c>
      <c r="D14">
        <v>0.33995421024922878</v>
      </c>
      <c r="E14">
        <v>0.29914338068749624</v>
      </c>
      <c r="F14">
        <f t="shared" si="0"/>
        <v>9.4951836419312201</v>
      </c>
    </row>
    <row r="15" spans="2:6" x14ac:dyDescent="0.2">
      <c r="B15" s="1">
        <v>3.8103947568968156E-3</v>
      </c>
      <c r="C15">
        <v>2.2988740292123886</v>
      </c>
      <c r="D15">
        <v>11.399689021478737</v>
      </c>
      <c r="E15">
        <v>0.58481918761962381</v>
      </c>
      <c r="F15">
        <f t="shared" si="0"/>
        <v>4.7611274127702501</v>
      </c>
    </row>
    <row r="16" spans="2:6" x14ac:dyDescent="0.2">
      <c r="B16" s="1">
        <v>0</v>
      </c>
      <c r="C16">
        <v>-4.6389669962821367</v>
      </c>
      <c r="D16">
        <v>3.3599555978174336</v>
      </c>
      <c r="E16">
        <v>1.2786032901690763</v>
      </c>
      <c r="F16">
        <f t="shared" si="0"/>
        <v>-1.3603609854229148E-4</v>
      </c>
    </row>
    <row r="18" spans="2:6" x14ac:dyDescent="0.2">
      <c r="C18">
        <v>96.327025339444077</v>
      </c>
      <c r="D18">
        <v>96.694322805499667</v>
      </c>
      <c r="E18">
        <v>97.306485248925654</v>
      </c>
      <c r="F18">
        <f>AVERAGE(C18:E18)</f>
        <v>96.775944464623137</v>
      </c>
    </row>
    <row r="19" spans="2:6" x14ac:dyDescent="0.2">
      <c r="B19" s="2"/>
      <c r="C19">
        <v>96.163782021197136</v>
      </c>
      <c r="D19">
        <v>95.102700452592103</v>
      </c>
      <c r="E19">
        <v>95.918917043826752</v>
      </c>
      <c r="F19">
        <f t="shared" ref="F19:F27" si="1">AVERAGE(C19:E19)</f>
        <v>95.728466505872007</v>
      </c>
    </row>
    <row r="20" spans="2:6" x14ac:dyDescent="0.2">
      <c r="B20" s="3"/>
      <c r="C20">
        <v>91.837834087653505</v>
      </c>
      <c r="D20">
        <v>94.81702464565997</v>
      </c>
      <c r="E20">
        <v>95.429187089085971</v>
      </c>
      <c r="F20">
        <f t="shared" si="1"/>
        <v>94.028015274133153</v>
      </c>
    </row>
    <row r="21" spans="2:6" x14ac:dyDescent="0.2">
      <c r="B21" s="3"/>
      <c r="C21">
        <v>91.348104132912709</v>
      </c>
      <c r="D21">
        <v>90.327833393869398</v>
      </c>
      <c r="E21">
        <v>89.307562654826086</v>
      </c>
      <c r="F21">
        <f t="shared" si="1"/>
        <v>90.327833393869398</v>
      </c>
    </row>
    <row r="22" spans="2:6" x14ac:dyDescent="0.2">
      <c r="B22" s="1"/>
      <c r="C22">
        <v>80.043504344312808</v>
      </c>
      <c r="D22">
        <v>81.96161333371424</v>
      </c>
      <c r="E22">
        <v>78.941611946146026</v>
      </c>
      <c r="F22">
        <f t="shared" si="1"/>
        <v>80.315576541391025</v>
      </c>
    </row>
    <row r="23" spans="2:6" x14ac:dyDescent="0.2">
      <c r="B23" s="1"/>
      <c r="C23">
        <v>69.799986124317954</v>
      </c>
      <c r="D23">
        <v>52.781870197075499</v>
      </c>
      <c r="E23">
        <v>53.883762595242267</v>
      </c>
      <c r="F23">
        <f t="shared" si="1"/>
        <v>58.821872972211906</v>
      </c>
    </row>
    <row r="24" spans="2:6" x14ac:dyDescent="0.2">
      <c r="B24" s="1"/>
      <c r="C24">
        <v>16.745907694065696</v>
      </c>
      <c r="D24">
        <v>29.315643199079304</v>
      </c>
      <c r="E24">
        <v>31.396995506727666</v>
      </c>
      <c r="F24">
        <f t="shared" si="1"/>
        <v>25.819515466624221</v>
      </c>
    </row>
    <row r="25" spans="2:6" x14ac:dyDescent="0.2">
      <c r="B25" s="1"/>
      <c r="C25">
        <v>27.846453334856935</v>
      </c>
      <c r="D25">
        <v>0.33995421024922878</v>
      </c>
      <c r="E25">
        <v>0.29914338068749624</v>
      </c>
      <c r="F25">
        <f t="shared" si="1"/>
        <v>9.4951836419312201</v>
      </c>
    </row>
    <row r="26" spans="2:6" x14ac:dyDescent="0.2">
      <c r="B26" s="1"/>
      <c r="C26">
        <v>2.2988740292123886</v>
      </c>
      <c r="D26">
        <v>11.399689021478737</v>
      </c>
      <c r="E26">
        <v>0.58481918761962381</v>
      </c>
      <c r="F26">
        <f t="shared" si="1"/>
        <v>4.7611274127702501</v>
      </c>
    </row>
    <row r="27" spans="2:6" x14ac:dyDescent="0.2">
      <c r="B27" s="1"/>
      <c r="C27">
        <v>-4.6389669962821367</v>
      </c>
      <c r="D27">
        <v>3.3599555978174336</v>
      </c>
      <c r="E27">
        <v>1.2786032901690763</v>
      </c>
      <c r="F27">
        <f t="shared" si="1"/>
        <v>-1.3603609854229148E-4</v>
      </c>
    </row>
    <row r="28" spans="2:6" x14ac:dyDescent="0.2">
      <c r="B28" s="1"/>
    </row>
    <row r="29" spans="2:6" x14ac:dyDescent="0.2">
      <c r="B29" s="1"/>
    </row>
    <row r="30" spans="2:6" x14ac:dyDescent="0.2">
      <c r="B30" s="1"/>
    </row>
    <row r="31" spans="2:6" x14ac:dyDescent="0.2">
      <c r="B31" s="1"/>
    </row>
  </sheetData>
  <mergeCells count="3">
    <mergeCell ref="B5:B6"/>
    <mergeCell ref="C5:F5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 3-6_Tu114</vt:lpstr>
      <vt:lpstr>Win 3-6_Chominis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Dayao, Denise</dc:creator>
  <cp:lastModifiedBy>Dayao, Denise</cp:lastModifiedBy>
  <dcterms:created xsi:type="dcterms:W3CDTF">2026-01-09T01:29:23Z</dcterms:created>
  <dcterms:modified xsi:type="dcterms:W3CDTF">2026-01-12T19:24:16Z</dcterms:modified>
</cp:coreProperties>
</file>