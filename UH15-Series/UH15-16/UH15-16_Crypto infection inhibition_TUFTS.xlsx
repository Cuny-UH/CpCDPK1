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dayao01/Library/CloudStorage/Box-Box/DD Shared Folder 2026/Cryptosporidium/R01 Evaluation of CDPK1 inhibitors_Crypto in vitro/Data for Greg/"/>
    </mc:Choice>
  </mc:AlternateContent>
  <xr:revisionPtr revIDLastSave="0" documentId="13_ncr:1_{436C910D-137B-D24D-BD68-B47608ABFC9C}" xr6:coauthVersionLast="47" xr6:coauthVersionMax="47" xr10:uidLastSave="{00000000-0000-0000-0000-000000000000}"/>
  <bookViews>
    <workbookView xWindow="760" yWindow="500" windowWidth="28040" windowHeight="16300" activeTab="1" xr2:uid="{54FBB44D-0A49-0E43-88E7-D7DBB30D6BBA}"/>
  </bookViews>
  <sheets>
    <sheet name="UH15-16_Tu114" sheetId="2" r:id="rId1"/>
    <sheet name="UH15-16_Chomini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3" l="1"/>
  <c r="F30" i="3"/>
  <c r="F29" i="3"/>
  <c r="F28" i="3"/>
  <c r="F27" i="3"/>
  <c r="F26" i="3"/>
  <c r="F25" i="3"/>
  <c r="F24" i="3"/>
  <c r="F23" i="3"/>
  <c r="F22" i="3"/>
</calcChain>
</file>

<file path=xl/sharedStrings.xml><?xml version="1.0" encoding="utf-8"?>
<sst xmlns="http://schemas.openxmlformats.org/spreadsheetml/2006/main" count="30" uniqueCount="11">
  <si>
    <t>Well 1</t>
  </si>
  <si>
    <t>Well 2</t>
  </si>
  <si>
    <t>Well 3</t>
  </si>
  <si>
    <t>ave</t>
  </si>
  <si>
    <t>UH 15-16 concentration (um)</t>
  </si>
  <si>
    <t>% inhibition</t>
  </si>
  <si>
    <t>Experiment 1</t>
  </si>
  <si>
    <t>Experiment 2</t>
  </si>
  <si>
    <t>C. parvum Tu114</t>
  </si>
  <si>
    <t>C. hominis Tu502</t>
  </si>
  <si>
    <t>Win 15-16 concentration (um)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</si>
</sst>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32342-549E-7442-942B-591E493F1B14}">
  <dimension ref="B2:J31"/>
  <sheetViews>
    <sheetView topLeftCell="A10" workbookViewId="0">
      <selection activeCell="C22" sqref="C22:E31"/>
    </sheetView>
  </sheetViews>
  <sheetFormatPr baseColWidth="10" defaultRowHeight="16" x14ac:dyDescent="0.2"/>
  <cols>
    <col min="2" max="2" width="18.5" customWidth="1"/>
  </cols>
  <sheetData>
    <row r="2" spans="2:10" x14ac:dyDescent="0.2">
      <c r="B2" s="2" t="s">
        <v>8</v>
      </c>
    </row>
    <row r="4" spans="2:10" x14ac:dyDescent="0.2">
      <c r="B4" t="s">
        <v>6</v>
      </c>
    </row>
    <row r="5" spans="2:10" x14ac:dyDescent="0.2">
      <c r="B5" s="4" t="s">
        <v>4</v>
      </c>
      <c r="C5" s="5" t="s">
        <v>5</v>
      </c>
      <c r="D5" s="5"/>
      <c r="E5" s="5"/>
      <c r="F5" s="5"/>
    </row>
    <row r="6" spans="2:10" x14ac:dyDescent="0.2">
      <c r="B6" s="4"/>
      <c r="C6" s="2" t="s">
        <v>0</v>
      </c>
      <c r="D6" s="2" t="s">
        <v>1</v>
      </c>
      <c r="E6" s="2" t="s">
        <v>2</v>
      </c>
      <c r="F6" s="2" t="s">
        <v>3</v>
      </c>
    </row>
    <row r="7" spans="2:10" x14ac:dyDescent="0.2">
      <c r="B7" s="1">
        <v>25</v>
      </c>
      <c r="C7" s="1">
        <v>92.80263685213508</v>
      </c>
      <c r="D7" s="1">
        <v>94.274824768743812</v>
      </c>
      <c r="E7" s="1">
        <v>92.230119329009469</v>
      </c>
      <c r="F7" s="1">
        <v>93.102526983296116</v>
      </c>
      <c r="H7" s="3"/>
      <c r="I7" s="3"/>
      <c r="J7" s="3"/>
    </row>
    <row r="8" spans="2:10" x14ac:dyDescent="0.2">
      <c r="B8" s="1">
        <v>8.3333333333333339</v>
      </c>
      <c r="C8" s="1">
        <v>89.694684583738876</v>
      </c>
      <c r="D8" s="1">
        <v>91.494025370705103</v>
      </c>
      <c r="E8" s="1">
        <v>90.921507847579477</v>
      </c>
      <c r="F8" s="1">
        <v>90.703405934007833</v>
      </c>
      <c r="H8" s="3"/>
      <c r="I8" s="3"/>
      <c r="J8" s="3"/>
    </row>
    <row r="9" spans="2:10" x14ac:dyDescent="0.2">
      <c r="B9" s="1">
        <v>2.7777777777777781</v>
      </c>
      <c r="C9" s="1">
        <v>87.977132014362013</v>
      </c>
      <c r="D9" s="1">
        <v>87.486402708825779</v>
      </c>
      <c r="E9" s="1">
        <v>86.423155880163904</v>
      </c>
      <c r="F9" s="1">
        <v>87.295563534450551</v>
      </c>
      <c r="H9" s="3"/>
      <c r="I9" s="3"/>
      <c r="J9" s="3"/>
    </row>
    <row r="10" spans="2:10" x14ac:dyDescent="0.2">
      <c r="B10" s="1">
        <v>0.92592592592592604</v>
      </c>
      <c r="C10" s="1">
        <v>83.642356482125194</v>
      </c>
      <c r="D10" s="1">
        <v>86.995673403289516</v>
      </c>
      <c r="E10" s="1">
        <v>88.386073102308885</v>
      </c>
      <c r="F10" s="1">
        <v>86.341367662574541</v>
      </c>
      <c r="H10" s="3"/>
      <c r="I10" s="3"/>
      <c r="J10" s="3"/>
    </row>
    <row r="11" spans="2:10" x14ac:dyDescent="0.2">
      <c r="B11" s="1">
        <v>0.30864197530864201</v>
      </c>
      <c r="C11" s="1">
        <v>87.977132014362013</v>
      </c>
      <c r="D11" s="1">
        <v>87.486402708825779</v>
      </c>
      <c r="E11" s="1">
        <v>85.359909051502029</v>
      </c>
      <c r="F11" s="1">
        <v>86.941147924896612</v>
      </c>
      <c r="H11" s="3"/>
      <c r="I11" s="3"/>
      <c r="J11" s="3"/>
    </row>
    <row r="12" spans="2:10" x14ac:dyDescent="0.2">
      <c r="B12" s="1">
        <v>0.10288065843621401</v>
      </c>
      <c r="C12" s="1">
        <v>87.077461620878893</v>
      </c>
      <c r="D12" s="1">
        <v>84.296662222840183</v>
      </c>
      <c r="E12" s="1">
        <v>85.196332616323289</v>
      </c>
      <c r="F12" s="1">
        <v>85.523485486680784</v>
      </c>
      <c r="H12" s="3"/>
      <c r="I12" s="3"/>
      <c r="J12" s="3"/>
    </row>
    <row r="13" spans="2:10" x14ac:dyDescent="0.2">
      <c r="B13" s="1">
        <v>3.4293552812071339E-2</v>
      </c>
      <c r="C13" s="1">
        <v>65.894313265231006</v>
      </c>
      <c r="D13" s="1">
        <v>68.429748010501612</v>
      </c>
      <c r="E13" s="1">
        <v>64.585701783801028</v>
      </c>
      <c r="F13" s="1">
        <v>66.303254353177877</v>
      </c>
      <c r="H13" s="3"/>
      <c r="I13" s="3"/>
      <c r="J13" s="3"/>
    </row>
    <row r="14" spans="2:10" x14ac:dyDescent="0.2">
      <c r="B14" s="1">
        <v>1.1431184270690446E-2</v>
      </c>
      <c r="C14" s="1">
        <v>17.63926488750031</v>
      </c>
      <c r="D14" s="1">
        <v>20.829005373485902</v>
      </c>
      <c r="E14" s="1">
        <v>0.87268028167862732</v>
      </c>
      <c r="F14" s="1">
        <v>13.11365018088828</v>
      </c>
      <c r="H14" s="3"/>
      <c r="I14" s="3"/>
      <c r="J14" s="3"/>
    </row>
    <row r="15" spans="2:10" x14ac:dyDescent="0.2">
      <c r="B15" s="1">
        <v>3.8103947568968156E-3</v>
      </c>
      <c r="C15" s="1">
        <v>-11.150187703959361</v>
      </c>
      <c r="D15" s="1">
        <v>-11.640917009495604</v>
      </c>
      <c r="E15" s="1">
        <v>-24.154514300669838</v>
      </c>
      <c r="F15" s="1">
        <v>-15.648539671374934</v>
      </c>
      <c r="H15" s="3"/>
      <c r="I15" s="3"/>
      <c r="J15" s="3"/>
    </row>
    <row r="16" spans="2:10" x14ac:dyDescent="0.2">
      <c r="B16" s="1">
        <v>0</v>
      </c>
      <c r="C16" s="1">
        <v>1.9359271103404903</v>
      </c>
      <c r="D16" s="1">
        <v>-6.8972003893119096</v>
      </c>
      <c r="E16" s="1">
        <v>4.9620911611473311</v>
      </c>
      <c r="F16" s="1">
        <v>2.7262739197049984E-4</v>
      </c>
      <c r="H16" s="3"/>
      <c r="I16" s="3"/>
      <c r="J16" s="3"/>
    </row>
    <row r="19" spans="2:6" x14ac:dyDescent="0.2">
      <c r="B19" t="s">
        <v>7</v>
      </c>
    </row>
    <row r="20" spans="2:6" x14ac:dyDescent="0.2">
      <c r="B20" s="4" t="s">
        <v>4</v>
      </c>
      <c r="C20" s="5" t="s">
        <v>5</v>
      </c>
      <c r="D20" s="5"/>
      <c r="E20" s="5"/>
      <c r="F20" s="5"/>
    </row>
    <row r="21" spans="2:6" x14ac:dyDescent="0.2">
      <c r="B21" s="4"/>
      <c r="C21" s="2" t="s">
        <v>0</v>
      </c>
      <c r="D21" s="2" t="s">
        <v>1</v>
      </c>
      <c r="E21" s="2" t="s">
        <v>2</v>
      </c>
      <c r="F21" s="2" t="s">
        <v>3</v>
      </c>
    </row>
    <row r="22" spans="2:6" x14ac:dyDescent="0.2">
      <c r="B22" s="1">
        <v>25</v>
      </c>
      <c r="C22">
        <v>96.910345496071287</v>
      </c>
      <c r="D22">
        <v>96.18336796573513</v>
      </c>
      <c r="E22">
        <v>95.880460661428387</v>
      </c>
      <c r="F22">
        <v>96.324724707744949</v>
      </c>
    </row>
    <row r="23" spans="2:6" x14ac:dyDescent="0.2">
      <c r="B23" s="1">
        <v>8.3333333333333339</v>
      </c>
      <c r="C23">
        <v>96.122786504873787</v>
      </c>
      <c r="D23">
        <v>96.001623583151087</v>
      </c>
      <c r="E23">
        <v>95.335227513676273</v>
      </c>
      <c r="F23">
        <v>95.819879200567058</v>
      </c>
    </row>
    <row r="24" spans="2:6" x14ac:dyDescent="0.2">
      <c r="B24" s="1">
        <v>2.7777777777777781</v>
      </c>
      <c r="C24">
        <v>94.123598296449316</v>
      </c>
      <c r="D24">
        <v>94.668831444201444</v>
      </c>
      <c r="E24">
        <v>95.214064591953573</v>
      </c>
      <c r="F24">
        <v>94.668831444201444</v>
      </c>
    </row>
    <row r="25" spans="2:6" x14ac:dyDescent="0.2">
      <c r="B25" s="1">
        <v>0.92592592592592604</v>
      </c>
      <c r="C25">
        <v>94.850575826785487</v>
      </c>
      <c r="D25">
        <v>94.184179757310673</v>
      </c>
      <c r="E25">
        <v>96.18336796573513</v>
      </c>
      <c r="F25">
        <v>95.072707849943754</v>
      </c>
    </row>
    <row r="26" spans="2:6" x14ac:dyDescent="0.2">
      <c r="B26" s="1">
        <v>0.30864197530864201</v>
      </c>
      <c r="C26">
        <v>95.819879200567044</v>
      </c>
      <c r="D26">
        <v>95.698716278844358</v>
      </c>
      <c r="E26">
        <v>94.729412905062787</v>
      </c>
      <c r="F26">
        <v>95.416002794824735</v>
      </c>
    </row>
    <row r="27" spans="2:6" x14ac:dyDescent="0.2">
      <c r="B27" s="1">
        <v>0.10288065843621401</v>
      </c>
      <c r="C27">
        <v>92.003247166302174</v>
      </c>
      <c r="D27">
        <v>91.33685109682736</v>
      </c>
      <c r="E27">
        <v>93.578365148697202</v>
      </c>
      <c r="F27">
        <v>92.306154470608917</v>
      </c>
    </row>
    <row r="28" spans="2:6" x14ac:dyDescent="0.2">
      <c r="B28" s="1">
        <v>3.4293552812071339E-2</v>
      </c>
      <c r="C28">
        <v>70.254502717078523</v>
      </c>
      <c r="D28">
        <v>56.987162788443477</v>
      </c>
      <c r="E28">
        <v>66.559033604536339</v>
      </c>
      <c r="F28">
        <v>64.60023303668612</v>
      </c>
    </row>
    <row r="29" spans="2:6" x14ac:dyDescent="0.2">
      <c r="B29" s="1">
        <v>1.1431184270690446E-2</v>
      </c>
      <c r="C29">
        <v>33.057485748211334</v>
      </c>
      <c r="D29">
        <v>25.727128983988322</v>
      </c>
      <c r="E29">
        <v>19.668982897853603</v>
      </c>
      <c r="F29">
        <v>26.151199210017751</v>
      </c>
    </row>
    <row r="30" spans="2:6" x14ac:dyDescent="0.2">
      <c r="B30" s="1">
        <v>3.8103947568968156E-3</v>
      </c>
      <c r="C30">
        <v>18.760260984933392</v>
      </c>
      <c r="D30">
        <v>-4.9270902118533639</v>
      </c>
      <c r="E30">
        <v>6.9468761169706887</v>
      </c>
      <c r="F30">
        <v>6.9266822966835724</v>
      </c>
    </row>
    <row r="31" spans="2:6" x14ac:dyDescent="0.2">
      <c r="B31" s="1">
        <v>0</v>
      </c>
      <c r="C31">
        <v>9.9153676991767021</v>
      </c>
      <c r="D31">
        <v>-2.8067390817062119</v>
      </c>
      <c r="E31">
        <v>-7.1080228028618633</v>
      </c>
      <c r="F31">
        <v>2.0193820287565481E-4</v>
      </c>
    </row>
  </sheetData>
  <mergeCells count="4">
    <mergeCell ref="B5:B6"/>
    <mergeCell ref="C5:F5"/>
    <mergeCell ref="B20:B21"/>
    <mergeCell ref="C20:F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B1BF0-26F8-B940-84CD-A4E418530229}">
  <dimension ref="B2:G31"/>
  <sheetViews>
    <sheetView tabSelected="1" workbookViewId="0">
      <selection activeCell="H23" sqref="H23"/>
    </sheetView>
  </sheetViews>
  <sheetFormatPr baseColWidth="10" defaultRowHeight="16" x14ac:dyDescent="0.2"/>
  <cols>
    <col min="2" max="2" width="16.83203125" customWidth="1"/>
    <col min="9" max="9" width="12.83203125" bestFit="1" customWidth="1"/>
  </cols>
  <sheetData>
    <row r="2" spans="2:7" x14ac:dyDescent="0.2">
      <c r="B2" s="2" t="s">
        <v>9</v>
      </c>
    </row>
    <row r="4" spans="2:7" x14ac:dyDescent="0.2">
      <c r="B4" s="2" t="s">
        <v>6</v>
      </c>
    </row>
    <row r="5" spans="2:7" ht="16" customHeight="1" x14ac:dyDescent="0.2">
      <c r="B5" s="4" t="s">
        <v>10</v>
      </c>
      <c r="C5" s="5" t="s">
        <v>5</v>
      </c>
      <c r="D5" s="5"/>
      <c r="E5" s="5"/>
      <c r="F5" s="5"/>
    </row>
    <row r="6" spans="2:7" x14ac:dyDescent="0.2">
      <c r="B6" s="4"/>
      <c r="C6" s="2" t="s">
        <v>0</v>
      </c>
      <c r="D6" s="2" t="s">
        <v>1</v>
      </c>
      <c r="E6" s="2" t="s">
        <v>2</v>
      </c>
      <c r="F6" s="2" t="s">
        <v>3</v>
      </c>
    </row>
    <row r="7" spans="2:7" x14ac:dyDescent="0.2">
      <c r="B7" s="1">
        <v>25</v>
      </c>
      <c r="C7" s="3">
        <v>96.369882000000004</v>
      </c>
      <c r="D7" s="3">
        <v>97.29095667</v>
      </c>
      <c r="E7" s="3">
        <v>96.424062800000002</v>
      </c>
      <c r="F7">
        <v>96.694967139304424</v>
      </c>
      <c r="G7" s="3"/>
    </row>
    <row r="8" spans="2:7" x14ac:dyDescent="0.2">
      <c r="B8" s="1">
        <v>8.3333333333333339</v>
      </c>
      <c r="C8" s="3">
        <v>96.803329000000005</v>
      </c>
      <c r="D8" s="3">
        <v>96.478243669999998</v>
      </c>
      <c r="E8" s="3">
        <v>96.369881899999996</v>
      </c>
      <c r="F8">
        <v>96.550484828454344</v>
      </c>
      <c r="G8" s="3"/>
    </row>
    <row r="9" spans="2:7" x14ac:dyDescent="0.2">
      <c r="B9" s="1">
        <v>2.7777777777777781</v>
      </c>
      <c r="C9" s="3">
        <v>94.961179000000001</v>
      </c>
      <c r="D9" s="3">
        <v>94.690275080000006</v>
      </c>
      <c r="E9" s="3">
        <v>94.527732499999999</v>
      </c>
      <c r="F9">
        <v>94.726395653972091</v>
      </c>
      <c r="G9" s="3"/>
    </row>
    <row r="10" spans="2:7" x14ac:dyDescent="0.2">
      <c r="B10" s="1">
        <v>0.92592592592592604</v>
      </c>
      <c r="C10" s="3">
        <v>92.143773999999993</v>
      </c>
      <c r="D10" s="3">
        <v>92.956487350000003</v>
      </c>
      <c r="E10" s="3">
        <v>91.331061300000002</v>
      </c>
      <c r="F10">
        <v>92.143774347526914</v>
      </c>
      <c r="G10" s="3"/>
    </row>
    <row r="11" spans="2:7" x14ac:dyDescent="0.2">
      <c r="B11" s="1">
        <v>0.30864197530864201</v>
      </c>
      <c r="C11" s="3">
        <v>90.735072000000002</v>
      </c>
      <c r="D11" s="3">
        <v>92.360497809999998</v>
      </c>
      <c r="E11" s="3">
        <v>90.572529200000005</v>
      </c>
      <c r="F11">
        <v>91.222699615857664</v>
      </c>
      <c r="G11" s="3"/>
    </row>
    <row r="12" spans="2:7" x14ac:dyDescent="0.2">
      <c r="B12" s="1">
        <v>0.10288065843621401</v>
      </c>
      <c r="C12" s="3">
        <v>83.854101999999997</v>
      </c>
      <c r="D12" s="3">
        <v>85.750432090000004</v>
      </c>
      <c r="E12" s="3">
        <v>80.223983700000005</v>
      </c>
      <c r="F12">
        <v>83.27617251910327</v>
      </c>
      <c r="G12" s="3"/>
    </row>
    <row r="13" spans="2:7" x14ac:dyDescent="0.2">
      <c r="B13" s="1">
        <v>3.4293552812071339E-2</v>
      </c>
      <c r="C13" s="3">
        <v>50.207783999999997</v>
      </c>
      <c r="D13" s="3">
        <v>41.593025840000003</v>
      </c>
      <c r="E13" s="3">
        <v>52.645922599999999</v>
      </c>
      <c r="F13">
        <v>48.148910693677635</v>
      </c>
      <c r="G13" s="3"/>
    </row>
    <row r="14" spans="2:7" x14ac:dyDescent="0.2">
      <c r="B14" s="1">
        <v>1.1431184270690446E-2</v>
      </c>
      <c r="C14" s="3">
        <v>11.143378999999999</v>
      </c>
      <c r="D14" s="3">
        <v>15.206943819999999</v>
      </c>
      <c r="E14" s="3">
        <v>15.5500893</v>
      </c>
      <c r="F14">
        <v>13.966803985062938</v>
      </c>
      <c r="G14" s="3"/>
    </row>
    <row r="15" spans="2:7" x14ac:dyDescent="0.2">
      <c r="B15" s="1">
        <v>3.8103947568968156E-3</v>
      </c>
      <c r="C15" s="3">
        <v>7.5132608000000003</v>
      </c>
      <c r="D15" s="3">
        <v>4.4249513729999999</v>
      </c>
      <c r="E15" s="3">
        <v>6.8089095000000004</v>
      </c>
      <c r="F15">
        <v>6.2490405471545145</v>
      </c>
      <c r="G15" s="3"/>
    </row>
    <row r="16" spans="2:7" x14ac:dyDescent="0.2">
      <c r="B16" s="1">
        <v>0</v>
      </c>
      <c r="C16" s="3">
        <v>-7.2060600000000002E-2</v>
      </c>
      <c r="D16" s="3">
        <v>-5.056700277</v>
      </c>
      <c r="E16" s="3">
        <v>5.1293026399999997</v>
      </c>
      <c r="F16">
        <v>1.8060288856662035E-4</v>
      </c>
      <c r="G16" s="3"/>
    </row>
    <row r="19" spans="2:6" ht="16" customHeight="1" x14ac:dyDescent="0.2">
      <c r="B19" s="2" t="s">
        <v>7</v>
      </c>
    </row>
    <row r="20" spans="2:6" x14ac:dyDescent="0.2">
      <c r="B20" s="4" t="s">
        <v>10</v>
      </c>
      <c r="C20" s="5" t="s">
        <v>5</v>
      </c>
      <c r="D20" s="5"/>
      <c r="E20" s="5"/>
      <c r="F20" s="5"/>
    </row>
    <row r="21" spans="2:6" x14ac:dyDescent="0.2">
      <c r="B21" s="4"/>
      <c r="C21" s="2" t="s">
        <v>0</v>
      </c>
      <c r="D21" s="2" t="s">
        <v>1</v>
      </c>
      <c r="E21" s="2" t="s">
        <v>2</v>
      </c>
      <c r="F21" s="2" t="s">
        <v>3</v>
      </c>
    </row>
    <row r="22" spans="2:6" x14ac:dyDescent="0.2">
      <c r="B22" s="1">
        <v>25</v>
      </c>
      <c r="C22" s="3">
        <v>95.867344000000003</v>
      </c>
      <c r="D22" s="3">
        <v>95.845478020000002</v>
      </c>
      <c r="E22" s="3">
        <v>95.954807500000001</v>
      </c>
      <c r="F22">
        <f t="shared" ref="F22:F30" si="0">AVERAGE(C22:E22)</f>
        <v>95.889209839999992</v>
      </c>
    </row>
    <row r="23" spans="2:6" x14ac:dyDescent="0.2">
      <c r="B23" s="1">
        <v>8.3333333333333339</v>
      </c>
      <c r="C23" s="3">
        <v>95.386294000000007</v>
      </c>
      <c r="D23" s="3">
        <v>95.298830390000006</v>
      </c>
      <c r="E23" s="3">
        <v>95.364428099999998</v>
      </c>
      <c r="F23">
        <f t="shared" si="0"/>
        <v>95.349850829999994</v>
      </c>
    </row>
    <row r="24" spans="2:6" x14ac:dyDescent="0.2">
      <c r="B24" s="1">
        <v>2.7777777777777781</v>
      </c>
      <c r="C24" s="3">
        <v>94.402327999999997</v>
      </c>
      <c r="D24" s="3">
        <v>94.70845095</v>
      </c>
      <c r="E24" s="3">
        <v>96.020405299999993</v>
      </c>
      <c r="F24">
        <f t="shared" si="0"/>
        <v>95.043728083333335</v>
      </c>
    </row>
    <row r="25" spans="2:6" x14ac:dyDescent="0.2">
      <c r="B25" s="1">
        <v>0.92592592592592604</v>
      </c>
      <c r="C25" s="3">
        <v>90.553928999999997</v>
      </c>
      <c r="D25" s="3">
        <v>91.9533469</v>
      </c>
      <c r="E25" s="3">
        <v>89.613695100000001</v>
      </c>
      <c r="F25">
        <f t="shared" si="0"/>
        <v>90.706990333333337</v>
      </c>
    </row>
    <row r="26" spans="2:6" x14ac:dyDescent="0.2">
      <c r="B26" s="1">
        <v>0.30864197530864201</v>
      </c>
      <c r="C26" s="3">
        <v>87.886289000000005</v>
      </c>
      <c r="D26" s="3">
        <v>87.055384149999995</v>
      </c>
      <c r="E26" s="3">
        <v>87.776959000000005</v>
      </c>
      <c r="F26">
        <f t="shared" si="0"/>
        <v>87.572877383333321</v>
      </c>
    </row>
    <row r="27" spans="2:6" x14ac:dyDescent="0.2">
      <c r="B27" s="1">
        <v>0.10288065843621401</v>
      </c>
      <c r="C27" s="3">
        <v>76.472285999999997</v>
      </c>
      <c r="D27" s="3">
        <v>73.257998000000001</v>
      </c>
      <c r="E27" s="3">
        <v>68.053912600000004</v>
      </c>
      <c r="F27">
        <f t="shared" si="0"/>
        <v>72.594732199999996</v>
      </c>
    </row>
    <row r="28" spans="2:6" x14ac:dyDescent="0.2">
      <c r="B28" s="1">
        <v>3.4293552812071339E-2</v>
      </c>
      <c r="C28" s="3">
        <v>35.736105000000002</v>
      </c>
      <c r="D28" s="3">
        <v>40.634067520000002</v>
      </c>
      <c r="E28" s="3">
        <v>42.492669499999998</v>
      </c>
      <c r="F28">
        <f t="shared" si="0"/>
        <v>39.620947340000008</v>
      </c>
    </row>
    <row r="29" spans="2:6" x14ac:dyDescent="0.2">
      <c r="B29" s="1">
        <v>1.1431184270690446E-2</v>
      </c>
      <c r="C29" s="3">
        <v>20.211312</v>
      </c>
      <c r="D29" s="3">
        <v>18.002855690000001</v>
      </c>
      <c r="E29" s="3">
        <v>15.510142500000001</v>
      </c>
      <c r="F29">
        <f t="shared" si="0"/>
        <v>17.908103396666665</v>
      </c>
    </row>
    <row r="30" spans="2:6" x14ac:dyDescent="0.2">
      <c r="B30" s="1">
        <v>3.8103947568968156E-3</v>
      </c>
      <c r="C30" s="3">
        <v>11.115095999999999</v>
      </c>
      <c r="D30" s="3">
        <v>16.10052194</v>
      </c>
      <c r="E30" s="3">
        <v>16.187985600000001</v>
      </c>
      <c r="F30">
        <f t="shared" si="0"/>
        <v>14.467867846666669</v>
      </c>
    </row>
    <row r="31" spans="2:6" x14ac:dyDescent="0.2">
      <c r="B31" s="1">
        <v>0</v>
      </c>
      <c r="C31" s="3">
        <v>-10.16043</v>
      </c>
      <c r="D31" s="3">
        <v>8.5130528519999995</v>
      </c>
      <c r="E31" s="3">
        <v>1.6471586300000001</v>
      </c>
      <c r="F31">
        <f>C31+D31+E31</f>
        <v>-2.1851800000027843E-4</v>
      </c>
    </row>
  </sheetData>
  <mergeCells count="4">
    <mergeCell ref="B5:B6"/>
    <mergeCell ref="C5:F5"/>
    <mergeCell ref="B20:B21"/>
    <mergeCell ref="C20:F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UH15-16_Tu114</vt:lpstr>
      <vt:lpstr>UH15-16_Chominis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Dayao, Denise</dc:creator>
  <cp:lastModifiedBy>Dayao, Denise</cp:lastModifiedBy>
  <dcterms:created xsi:type="dcterms:W3CDTF">2026-01-09T01:29:23Z</dcterms:created>
  <dcterms:modified xsi:type="dcterms:W3CDTF">2026-03-08T22:11:53Z</dcterms:modified>
</cp:coreProperties>
</file>